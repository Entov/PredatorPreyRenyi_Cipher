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YA TOV EST\Desktop\CifradorIndiceTabla\"/>
    </mc:Choice>
  </mc:AlternateContent>
  <xr:revisionPtr revIDLastSave="0" documentId="13_ncr:1_{33BC42F0-620A-4D99-BFCF-870DA0667A75}" xr6:coauthVersionLast="41" xr6:coauthVersionMax="41" xr10:uidLastSave="{00000000-0000-0000-0000-000000000000}"/>
  <bookViews>
    <workbookView xWindow="-108" yWindow="-108" windowWidth="23256" windowHeight="12576" xr2:uid="{A042D5F8-AEBD-4536-91BC-92D938C256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I24" i="1"/>
  <c r="J24" i="1"/>
  <c r="K24" i="1"/>
  <c r="G24" i="1"/>
  <c r="F24" i="1"/>
  <c r="E24" i="1"/>
  <c r="D24" i="1"/>
  <c r="C24" i="1"/>
  <c r="J23" i="1"/>
  <c r="I23" i="1"/>
  <c r="G23" i="1"/>
  <c r="F23" i="1"/>
  <c r="D23" i="1"/>
  <c r="C23" i="1"/>
  <c r="K23" i="1"/>
  <c r="H23" i="1"/>
  <c r="E23" i="1"/>
  <c r="M7" i="1" l="1"/>
  <c r="M6" i="1" l="1"/>
  <c r="M5" i="1" l="1"/>
</calcChain>
</file>

<file path=xl/sharedStrings.xml><?xml version="1.0" encoding="utf-8"?>
<sst xmlns="http://schemas.openxmlformats.org/spreadsheetml/2006/main" count="29" uniqueCount="22">
  <si>
    <t>RONDAS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</si>
  <si>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</si>
  <si>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</si>
  <si>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</si>
  <si>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</si>
  <si>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</si>
  <si>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</si>
  <si>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</si>
  <si>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</si>
  <si>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</si>
  <si>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</si>
  <si>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 Promedio</t>
  </si>
  <si>
    <t>Velocidad (Megabits/sec)</t>
  </si>
  <si>
    <t>O</t>
  </si>
  <si>
    <t>O3</t>
  </si>
  <si>
    <t>Ofast</t>
  </si>
  <si>
    <t>5 Rondas</t>
  </si>
  <si>
    <t>10 Rondas</t>
  </si>
  <si>
    <t>15 Rondas</t>
  </si>
  <si>
    <t>Velocidad Promedio</t>
  </si>
  <si>
    <t>Desvesta</t>
  </si>
  <si>
    <t>SOLO OPTIMIZADOR Ofast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</si>
</sst>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BE56-FC5C-48ED-9F95-7DCF7ACB41CC}">
  <dimension ref="B2:M24"/>
  <sheetViews>
    <sheetView tabSelected="1" workbookViewId="0">
      <selection activeCell="M19" sqref="M19"/>
    </sheetView>
  </sheetViews>
  <sheetFormatPr baseColWidth="10" defaultColWidth="20.77734375" defaultRowHeight="14.4" x14ac:dyDescent="0.3"/>
  <cols>
    <col min="3" max="12" width="11.77734375" customWidth="1"/>
    <col min="13" max="13" width="16.77734375" customWidth="1"/>
  </cols>
  <sheetData>
    <row r="2" spans="2:13" x14ac:dyDescent="0.3">
      <c r="B2" s="12" t="s">
        <v>21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x14ac:dyDescent="0.3">
      <c r="B3" s="3" t="s">
        <v>0</v>
      </c>
      <c r="C3" s="3" t="s">
        <v>12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2:13" x14ac:dyDescent="0.3">
      <c r="B4" s="3"/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</row>
    <row r="5" spans="2:13" x14ac:dyDescent="0.3">
      <c r="B5" s="2">
        <v>5</v>
      </c>
      <c r="C5" s="1">
        <v>470.60181899999998</v>
      </c>
      <c r="D5" s="1">
        <v>483.054981</v>
      </c>
      <c r="E5" s="1">
        <v>485.18373200000002</v>
      </c>
      <c r="F5" s="1">
        <v>476.59095300000001</v>
      </c>
      <c r="G5" s="1">
        <v>484.584881</v>
      </c>
      <c r="H5" s="1">
        <v>485.67128000000002</v>
      </c>
      <c r="I5" s="1">
        <v>484.449861</v>
      </c>
      <c r="J5" s="1">
        <v>524.76751300000001</v>
      </c>
      <c r="K5" s="1">
        <v>526.69782999999995</v>
      </c>
      <c r="L5" s="1">
        <v>492.79831999999999</v>
      </c>
      <c r="M5" s="1">
        <f>AVERAGE(C5:L5)</f>
        <v>491.44011699999999</v>
      </c>
    </row>
    <row r="6" spans="2:13" x14ac:dyDescent="0.3">
      <c r="B6" s="2">
        <v>10</v>
      </c>
      <c r="C6" s="1">
        <v>943.119821</v>
      </c>
      <c r="D6" s="1">
        <v>943.77802499999996</v>
      </c>
      <c r="E6" s="1">
        <v>916.908233</v>
      </c>
      <c r="F6" s="1">
        <v>938.84072900000001</v>
      </c>
      <c r="G6" s="1">
        <v>942.87406199999998</v>
      </c>
      <c r="H6" s="1">
        <v>938.61693600000001</v>
      </c>
      <c r="I6" s="1">
        <v>939.65782300000001</v>
      </c>
      <c r="J6" s="1">
        <v>989.99266399999999</v>
      </c>
      <c r="K6" s="1">
        <v>935.50806399999999</v>
      </c>
      <c r="L6" s="1">
        <v>941.84591799999998</v>
      </c>
      <c r="M6" s="1">
        <f>AVERAGE(C6:L6)</f>
        <v>943.1142275000002</v>
      </c>
    </row>
    <row r="7" spans="2:13" x14ac:dyDescent="0.3">
      <c r="B7" s="2">
        <v>15</v>
      </c>
      <c r="C7" s="1">
        <v>1389.3018970000001</v>
      </c>
      <c r="D7" s="1">
        <v>1458.246427</v>
      </c>
      <c r="E7" s="1">
        <v>1435.8811639999999</v>
      </c>
      <c r="F7" s="1">
        <v>1432.424467</v>
      </c>
      <c r="G7" s="1">
        <v>1465.5576140000001</v>
      </c>
      <c r="H7" s="1">
        <v>1464.45146</v>
      </c>
      <c r="I7" s="1">
        <v>1424.256513</v>
      </c>
      <c r="J7" s="1">
        <v>1470.1281269999999</v>
      </c>
      <c r="K7" s="1">
        <v>1466.842204</v>
      </c>
      <c r="L7" s="1">
        <v>1459.7728540000001</v>
      </c>
      <c r="M7" s="1">
        <f>AVERAGE(C7:L7)</f>
        <v>1446.6862727000002</v>
      </c>
    </row>
    <row r="10" spans="2:13" x14ac:dyDescent="0.3">
      <c r="C10" s="3" t="s">
        <v>12</v>
      </c>
      <c r="D10" s="3"/>
      <c r="E10" s="3"/>
      <c r="F10" s="3"/>
      <c r="G10" s="3"/>
      <c r="H10" s="3"/>
      <c r="I10" s="3"/>
      <c r="J10" s="3"/>
      <c r="K10" s="3"/>
    </row>
    <row r="11" spans="2:13" x14ac:dyDescent="0.3">
      <c r="C11" s="3" t="s">
        <v>16</v>
      </c>
      <c r="D11" s="3"/>
      <c r="E11" s="3"/>
      <c r="F11" s="3" t="s">
        <v>17</v>
      </c>
      <c r="G11" s="3"/>
      <c r="H11" s="3"/>
      <c r="I11" s="3" t="s">
        <v>18</v>
      </c>
      <c r="J11" s="3"/>
      <c r="K11" s="3"/>
    </row>
    <row r="12" spans="2:13" x14ac:dyDescent="0.3">
      <c r="C12" s="7" t="s">
        <v>13</v>
      </c>
      <c r="D12" s="7" t="s">
        <v>14</v>
      </c>
      <c r="E12" s="7" t="s">
        <v>15</v>
      </c>
      <c r="F12" s="7" t="s">
        <v>13</v>
      </c>
      <c r="G12" s="7" t="s">
        <v>14</v>
      </c>
      <c r="H12" s="7" t="s">
        <v>15</v>
      </c>
      <c r="I12" s="7" t="s">
        <v>13</v>
      </c>
      <c r="J12" s="7" t="s">
        <v>14</v>
      </c>
      <c r="K12" s="7" t="s">
        <v>15</v>
      </c>
    </row>
    <row r="13" spans="2:13" x14ac:dyDescent="0.3">
      <c r="C13" s="5">
        <v>354.47275500000001</v>
      </c>
      <c r="D13" s="5">
        <v>410.74894</v>
      </c>
      <c r="E13" s="6">
        <v>470.60181899999998</v>
      </c>
      <c r="F13" s="5">
        <v>699.03241400000002</v>
      </c>
      <c r="G13" s="5">
        <v>749.86102700000004</v>
      </c>
      <c r="H13" s="6">
        <v>943.119821</v>
      </c>
      <c r="I13" s="5">
        <v>1015.578896</v>
      </c>
      <c r="J13" s="5">
        <v>1164.25362</v>
      </c>
      <c r="K13" s="6">
        <v>1389.3018970000001</v>
      </c>
    </row>
    <row r="14" spans="2:13" x14ac:dyDescent="0.3">
      <c r="C14" s="5">
        <v>360.50141100000002</v>
      </c>
      <c r="D14" s="5">
        <v>424.27226200000001</v>
      </c>
      <c r="E14" s="6">
        <v>483.054981</v>
      </c>
      <c r="F14" s="5">
        <v>693.15119700000002</v>
      </c>
      <c r="G14" s="5">
        <v>751.62496999999996</v>
      </c>
      <c r="H14" s="6">
        <v>943.77802499999996</v>
      </c>
      <c r="I14" s="5">
        <v>1011.084336</v>
      </c>
      <c r="J14" s="5">
        <v>1135.8839330000001</v>
      </c>
      <c r="K14" s="6">
        <v>1458.246427</v>
      </c>
    </row>
    <row r="15" spans="2:13" x14ac:dyDescent="0.3">
      <c r="C15" s="5">
        <v>358.71829000000002</v>
      </c>
      <c r="D15" s="5">
        <v>402.99415399999998</v>
      </c>
      <c r="E15" s="6">
        <v>485.18373200000002</v>
      </c>
      <c r="F15" s="5">
        <v>697.85183800000004</v>
      </c>
      <c r="G15" s="5">
        <v>781.22137399999997</v>
      </c>
      <c r="H15" s="6">
        <v>916.908233</v>
      </c>
      <c r="I15" s="5">
        <v>985.8519</v>
      </c>
      <c r="J15" s="5">
        <v>1100.948891</v>
      </c>
      <c r="K15" s="6">
        <v>1435.8811639999999</v>
      </c>
    </row>
    <row r="16" spans="2:13" x14ac:dyDescent="0.3">
      <c r="C16" s="5">
        <v>355.88239900000002</v>
      </c>
      <c r="D16" s="5">
        <v>400.56814900000001</v>
      </c>
      <c r="E16" s="6">
        <v>476.59095300000001</v>
      </c>
      <c r="F16" s="5">
        <v>652.24589500000002</v>
      </c>
      <c r="G16" s="5">
        <v>747.766887</v>
      </c>
      <c r="H16" s="6">
        <v>938.84072900000001</v>
      </c>
      <c r="I16" s="5">
        <v>1017.145219</v>
      </c>
      <c r="J16" s="5">
        <v>1126.3087370000001</v>
      </c>
      <c r="K16" s="6">
        <v>1432.424467</v>
      </c>
    </row>
    <row r="17" spans="2:11" x14ac:dyDescent="0.3">
      <c r="C17" s="5">
        <v>359.25734899999998</v>
      </c>
      <c r="D17" s="5">
        <v>408.30241799999999</v>
      </c>
      <c r="E17" s="6">
        <v>484.584881</v>
      </c>
      <c r="F17" s="5">
        <v>686.59610499999997</v>
      </c>
      <c r="G17" s="5">
        <v>784.68758700000001</v>
      </c>
      <c r="H17" s="6">
        <v>942.87406199999998</v>
      </c>
      <c r="I17" s="5">
        <v>993.79936799999996</v>
      </c>
      <c r="J17" s="5">
        <v>1064.726324</v>
      </c>
      <c r="K17" s="6">
        <v>1465.5576140000001</v>
      </c>
    </row>
    <row r="18" spans="2:11" x14ac:dyDescent="0.3">
      <c r="C18" s="5">
        <v>354.437094</v>
      </c>
      <c r="D18" s="5">
        <v>397.13650699999999</v>
      </c>
      <c r="E18" s="6">
        <v>485.67128000000002</v>
      </c>
      <c r="F18" s="5">
        <v>670.02326200000005</v>
      </c>
      <c r="G18" s="5">
        <v>754.65428099999997</v>
      </c>
      <c r="H18" s="6">
        <v>938.61693600000001</v>
      </c>
      <c r="I18" s="5">
        <v>1004.9594499999999</v>
      </c>
      <c r="J18" s="5">
        <v>1143.539027</v>
      </c>
      <c r="K18" s="6">
        <v>1464.45146</v>
      </c>
    </row>
    <row r="19" spans="2:11" x14ac:dyDescent="0.3">
      <c r="C19" s="5">
        <v>358.77789200000001</v>
      </c>
      <c r="D19" s="5">
        <v>396.571842</v>
      </c>
      <c r="E19" s="6">
        <v>484.449861</v>
      </c>
      <c r="F19" s="5">
        <v>672.21675000000005</v>
      </c>
      <c r="G19" s="5">
        <v>790.84790699999996</v>
      </c>
      <c r="H19" s="6">
        <v>939.65782300000001</v>
      </c>
      <c r="I19" s="5">
        <v>1011.1683379999999</v>
      </c>
      <c r="J19" s="5">
        <v>1138.792195</v>
      </c>
      <c r="K19" s="6">
        <v>1424.256513</v>
      </c>
    </row>
    <row r="20" spans="2:11" x14ac:dyDescent="0.3">
      <c r="C20" s="5">
        <v>362.74311</v>
      </c>
      <c r="D20" s="5">
        <v>408.01372700000002</v>
      </c>
      <c r="E20" s="6">
        <v>524.76751300000001</v>
      </c>
      <c r="F20" s="5">
        <v>699.774134</v>
      </c>
      <c r="G20" s="5">
        <v>792.83837500000004</v>
      </c>
      <c r="H20" s="6">
        <v>989.99266399999999</v>
      </c>
      <c r="I20" s="5">
        <v>1003.558274</v>
      </c>
      <c r="J20" s="5">
        <v>1145.5939209999999</v>
      </c>
      <c r="K20" s="6">
        <v>1470.1281269999999</v>
      </c>
    </row>
    <row r="21" spans="2:11" x14ac:dyDescent="0.3">
      <c r="C21" s="5">
        <v>341.347013</v>
      </c>
      <c r="D21" s="5">
        <v>394.15500200000002</v>
      </c>
      <c r="E21" s="6">
        <v>526.69782999999995</v>
      </c>
      <c r="F21" s="5">
        <v>668.98535900000002</v>
      </c>
      <c r="G21" s="5">
        <v>771.39055599999995</v>
      </c>
      <c r="H21" s="6">
        <v>935.50806399999999</v>
      </c>
      <c r="I21" s="5">
        <v>926.15641300000004</v>
      </c>
      <c r="J21" s="5">
        <v>1095.8662159999999</v>
      </c>
      <c r="K21" s="6">
        <v>1466.842204</v>
      </c>
    </row>
    <row r="22" spans="2:11" x14ac:dyDescent="0.3">
      <c r="C22" s="5">
        <v>353.73846099999997</v>
      </c>
      <c r="D22" s="5">
        <v>403.17590100000001</v>
      </c>
      <c r="E22" s="6">
        <v>492.79831999999999</v>
      </c>
      <c r="F22" s="5">
        <v>684.51086199999997</v>
      </c>
      <c r="G22" s="5">
        <v>793.83972400000005</v>
      </c>
      <c r="H22" s="6">
        <v>941.84591799999998</v>
      </c>
      <c r="I22" s="5">
        <v>993.04747199999997</v>
      </c>
      <c r="J22" s="5">
        <v>1109.6083679999999</v>
      </c>
      <c r="K22" s="6">
        <v>1459.7728540000001</v>
      </c>
    </row>
    <row r="23" spans="2:11" x14ac:dyDescent="0.3">
      <c r="B23" s="8" t="s">
        <v>19</v>
      </c>
      <c r="C23" s="9">
        <f>AVERAGE(C13:C22)</f>
        <v>355.98757740000002</v>
      </c>
      <c r="D23" s="9">
        <f>AVERAGE(D13:D22)</f>
        <v>404.59389019999998</v>
      </c>
      <c r="E23" s="10">
        <f>AVERAGE(E13:E22)</f>
        <v>491.44011699999999</v>
      </c>
      <c r="F23" s="9">
        <f>AVERAGE(F13:F22)</f>
        <v>682.43878160000008</v>
      </c>
      <c r="G23" s="9">
        <f>AVERAGE(G13:G22)</f>
        <v>771.87326880000012</v>
      </c>
      <c r="H23" s="10">
        <f>AVERAGE(H13:H22)</f>
        <v>943.1142275000002</v>
      </c>
      <c r="I23" s="9">
        <f>AVERAGE(I13:I22)</f>
        <v>996.23496660000001</v>
      </c>
      <c r="J23" s="9">
        <f>AVERAGE(J13:J22)</f>
        <v>1122.5521231999999</v>
      </c>
      <c r="K23" s="11">
        <f>AVERAGE(K13:K22)</f>
        <v>1446.6862727000002</v>
      </c>
    </row>
    <row r="24" spans="2:11" x14ac:dyDescent="0.3">
      <c r="B24" s="8" t="s">
        <v>20</v>
      </c>
      <c r="C24" s="4">
        <f>STDEVA(C13:C22)</f>
        <v>5.9260288967817472</v>
      </c>
      <c r="D24" s="4">
        <f>STDEVA(D13:D22)</f>
        <v>8.820960307879508</v>
      </c>
      <c r="E24" s="4">
        <f>STDEVA(E13:E22)</f>
        <v>18.999967776161601</v>
      </c>
      <c r="F24" s="4">
        <f>STDEVA(F13:F22)</f>
        <v>15.989573419542767</v>
      </c>
      <c r="G24" s="4">
        <f>STDEVA(G13:G23)</f>
        <v>18.182596453641761</v>
      </c>
      <c r="H24" s="4">
        <f>STDEVA(H13:H22)</f>
        <v>18.241399126418813</v>
      </c>
      <c r="I24" s="4">
        <f>STDEVA(I13:I22)</f>
        <v>26.707441875787495</v>
      </c>
      <c r="J24" s="4">
        <f>STDEVA(J13:J22)</f>
        <v>29.545031130560709</v>
      </c>
      <c r="K24" s="4">
        <f>STDEVA(K13:K22)</f>
        <v>25.924286018114561</v>
      </c>
    </row>
  </sheetData>
  <mergeCells count="7">
    <mergeCell ref="B2:M2"/>
    <mergeCell ref="B3:B4"/>
    <mergeCell ref="C3:M3"/>
    <mergeCell ref="C11:E11"/>
    <mergeCell ref="F11:H11"/>
    <mergeCell ref="I11:K11"/>
    <mergeCell ref="C10:K1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 TOV EST</dc:creator>
  <cp:lastModifiedBy>NYA TOV EST</cp:lastModifiedBy>
  <dcterms:created xsi:type="dcterms:W3CDTF">2025-07-17T03:45:11Z</dcterms:created>
  <dcterms:modified xsi:type="dcterms:W3CDTF">2025-08-05T04:56:40Z</dcterms:modified>
</cp:coreProperties>
</file>